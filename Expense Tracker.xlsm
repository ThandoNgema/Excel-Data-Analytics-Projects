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2026\Data Analytics\"/>
    </mc:Choice>
  </mc:AlternateContent>
  <xr:revisionPtr revIDLastSave="0" documentId="8_{D5271828-8403-4F51-8AF8-7C07D9632D7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Main Spreadsheet" sheetId="1" r:id="rId1"/>
    <sheet name="Pivots" sheetId="3" r:id="rId2"/>
    <sheet name="Dashboard" sheetId="2" r:id="rId3"/>
  </sheets>
  <definedNames>
    <definedName name="_xleta.T" hidden="1" xlm="1">#NAME?</definedName>
  </definedNames>
  <calcPr calcId="191029"/>
  <pivotCaches>
    <pivotCache cacheId="4" r:id="rId4"/>
    <pivotCache cacheId="1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" l="1"/>
  <c r="C6" i="1"/>
  <c r="F4" i="1" l="1"/>
</calcChain>
</file>

<file path=xl/sharedStrings.xml><?xml version="1.0" encoding="utf-8"?>
<sst xmlns="http://schemas.openxmlformats.org/spreadsheetml/2006/main" count="61" uniqueCount="31">
  <si>
    <t>Description</t>
  </si>
  <si>
    <t>Amount</t>
  </si>
  <si>
    <t>Income Description</t>
  </si>
  <si>
    <t>Main Salary</t>
  </si>
  <si>
    <t>Other Income</t>
  </si>
  <si>
    <t>MTN Data Contract</t>
  </si>
  <si>
    <t>Groceries</t>
  </si>
  <si>
    <t>Total</t>
  </si>
  <si>
    <t>Rent</t>
  </si>
  <si>
    <t>Transport</t>
  </si>
  <si>
    <t>Category</t>
  </si>
  <si>
    <t>Internet</t>
  </si>
  <si>
    <t>Lifestyle</t>
  </si>
  <si>
    <t>Food</t>
  </si>
  <si>
    <t>Housing</t>
  </si>
  <si>
    <t>Uber</t>
  </si>
  <si>
    <t>Savings</t>
  </si>
  <si>
    <t>Monthly Savings</t>
  </si>
  <si>
    <t>Remaining Balance</t>
  </si>
  <si>
    <t>Categories</t>
  </si>
  <si>
    <t>Loans</t>
  </si>
  <si>
    <t>Clothing</t>
  </si>
  <si>
    <t>Night Out</t>
  </si>
  <si>
    <t>Water</t>
  </si>
  <si>
    <t>Electricity</t>
  </si>
  <si>
    <t>Winter Tracksuit</t>
  </si>
  <si>
    <t>Finbank Loan</t>
  </si>
  <si>
    <t>Monthly Commute Fare</t>
  </si>
  <si>
    <t>Row Labels</t>
  </si>
  <si>
    <t>Grand Total</t>
  </si>
  <si>
    <t>Sum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</si>
</sst>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&quot;#,##0.00"/>
  </numFmts>
  <fonts count="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2" xfId="2"/>
    <xf numFmtId="164" fontId="2" fillId="0" borderId="2" xfId="2" applyNumberFormat="1"/>
    <xf numFmtId="164" fontId="1" fillId="0" borderId="1" xfId="1" applyNumberFormat="1"/>
    <xf numFmtId="0" fontId="2" fillId="0" borderId="2" xfId="2" applyAlignment="1">
      <alignment horizontal="center"/>
    </xf>
    <xf numFmtId="0" fontId="0" fillId="0" borderId="0" xfId="0" pivotButton="1"/>
  </cellXfs>
  <cellStyles count="3">
    <cellStyle name="Heading 1" xfId="1" builtinId="16"/>
    <cellStyle name="Normal" xfId="0" builtinId="0"/>
    <cellStyle name="Total" xfId="2" builtinId="25"/>
  </cellStyles>
  <dxfs count="3"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&quot;R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[Expense Tracker.xlsm]Pivots!PivotTable1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  <a:r>
              <a:rPr lang="en-US" baseline="0"/>
              <a:t> DISTRIBUTION</a:t>
            </a:r>
            <a:endParaRPr lang="en-US"/>
          </a:p>
        </c:rich>
      </c:tx>
      <c:layout>
        <c:manualLayout>
          <c:xMode val="edge"/>
          <c:yMode val="edge"/>
          <c:x val="0.16197604790419162"/>
          <c:y val="6.22134905042567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6"/>
          </a:solidFill>
          <a:ln w="19050">
            <a:solidFill>
              <a:schemeClr val="lt1"/>
            </a:solidFill>
          </a:ln>
          <a:effectLst>
            <a:outerShdw blurRad="177800" dist="469900" dir="4740000" sx="90000" sy="-19000" rotWithShape="0">
              <a:prstClr val="black">
                <a:alpha val="15000"/>
              </a:prstClr>
            </a:outerShdw>
          </a:effectLst>
          <a:scene3d>
            <a:camera prst="orthographicFront"/>
            <a:lightRig rig="brightRoom" dir="t">
              <a:rot lat="0" lon="0" rev="1800000"/>
            </a:lightRig>
          </a:scene3d>
          <a:sp3d contourW="19050" prstMaterial="plastic">
            <a:bevelT w="444500" h="762000" prst="artDeco"/>
            <a:bevelB w="444500" h="254000" prst="slope"/>
            <a:contourClr>
              <a:schemeClr val="lt1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>
            <a:outerShdw blurRad="177800" dist="469900" dir="4740000" sx="90000" sy="-19000" rotWithShape="0">
              <a:prstClr val="black">
                <a:alpha val="15000"/>
              </a:prstClr>
            </a:outerShdw>
          </a:effectLst>
          <a:scene3d>
            <a:camera prst="orthographicFront"/>
            <a:lightRig rig="brightRoom" dir="t">
              <a:rot lat="0" lon="0" rev="1800000"/>
            </a:lightRig>
          </a:scene3d>
          <a:sp3d contourW="19050" prstMaterial="plastic">
            <a:bevelT w="444500" h="762000" prst="artDeco"/>
            <a:bevelB w="444500" h="254000" prst="slope"/>
            <a:contourClr>
              <a:schemeClr val="lt1"/>
            </a:contourClr>
          </a:sp3d>
        </c:spPr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>
            <a:outerShdw blurRad="177800" dist="469900" dir="4740000" sx="90000" sy="-19000" rotWithShape="0">
              <a:prstClr val="black">
                <a:alpha val="15000"/>
              </a:prstClr>
            </a:outerShdw>
          </a:effectLst>
          <a:scene3d>
            <a:camera prst="orthographicFront"/>
            <a:lightRig rig="brightRoom" dir="t">
              <a:rot lat="0" lon="0" rev="1800000"/>
            </a:lightRig>
          </a:scene3d>
          <a:sp3d contourW="19050" prstMaterial="plastic">
            <a:bevelT w="444500" h="762000" prst="artDeco"/>
            <a:bevelB w="444500" h="254000" prst="slope"/>
            <a:contourClr>
              <a:schemeClr val="lt1"/>
            </a:contourClr>
          </a:sp3d>
        </c:spPr>
      </c:pivotFmt>
      <c:pivotFmt>
        <c:idx val="13"/>
        <c:spPr>
          <a:solidFill>
            <a:schemeClr val="accent4"/>
          </a:solidFill>
          <a:ln w="19050">
            <a:solidFill>
              <a:schemeClr val="lt1"/>
            </a:solidFill>
          </a:ln>
          <a:effectLst>
            <a:outerShdw blurRad="177800" dist="469900" dir="4740000" sx="90000" sy="-19000" rotWithShape="0">
              <a:prstClr val="black">
                <a:alpha val="15000"/>
              </a:prstClr>
            </a:outerShdw>
          </a:effectLst>
          <a:scene3d>
            <a:camera prst="orthographicFront"/>
            <a:lightRig rig="brightRoom" dir="t">
              <a:rot lat="0" lon="0" rev="1800000"/>
            </a:lightRig>
          </a:scene3d>
          <a:sp3d contourW="19050" prstMaterial="plastic">
            <a:bevelT w="444500" h="762000" prst="artDeco"/>
            <a:bevelB w="444500" h="254000" prst="slope"/>
            <a:contourClr>
              <a:schemeClr val="lt1"/>
            </a:contourClr>
          </a:sp3d>
        </c:spPr>
      </c:pivotFmt>
      <c:pivotFmt>
        <c:idx val="14"/>
        <c:spPr>
          <a:solidFill>
            <a:srgbClr val="7030A0"/>
          </a:solidFill>
          <a:ln w="19050">
            <a:solidFill>
              <a:schemeClr val="lt1"/>
            </a:solidFill>
          </a:ln>
          <a:effectLst>
            <a:outerShdw blurRad="177800" dist="469900" dir="4740000" sx="90000" sy="-19000" rotWithShape="0">
              <a:prstClr val="black">
                <a:alpha val="15000"/>
              </a:prstClr>
            </a:outerShdw>
          </a:effectLst>
          <a:scene3d>
            <a:camera prst="orthographicFront"/>
            <a:lightRig rig="brightRoom" dir="t">
              <a:rot lat="0" lon="0" rev="1800000"/>
            </a:lightRig>
          </a:scene3d>
          <a:sp3d contourW="19050" prstMaterial="plastic">
            <a:bevelT w="444500" h="762000" prst="artDeco"/>
            <a:bevelB w="444500" h="254000" prst="slope"/>
            <a:contourClr>
              <a:schemeClr val="lt1"/>
            </a:contourClr>
          </a:sp3d>
        </c:spPr>
      </c:pivotFmt>
      <c:pivotFmt>
        <c:idx val="15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>
            <a:outerShdw blurRad="177800" dist="469900" dir="4740000" sx="90000" sy="-19000" rotWithShape="0">
              <a:prstClr val="black">
                <a:alpha val="15000"/>
              </a:prstClr>
            </a:outerShdw>
          </a:effectLst>
          <a:scene3d>
            <a:camera prst="orthographicFront"/>
            <a:lightRig rig="brightRoom" dir="t">
              <a:rot lat="0" lon="0" rev="1800000"/>
            </a:lightRig>
          </a:scene3d>
          <a:sp3d contourW="19050" prstMaterial="plastic">
            <a:bevelT w="444500" h="762000" prst="artDeco"/>
            <a:bevelB w="444500" h="254000" prst="slope"/>
            <a:contourClr>
              <a:schemeClr val="lt1"/>
            </a:contourClr>
          </a:sp3d>
        </c:spPr>
      </c:pivotFmt>
      <c:pivotFmt>
        <c:idx val="16"/>
        <c:spPr>
          <a:solidFill>
            <a:srgbClr val="FF0000"/>
          </a:solidFill>
          <a:ln w="19050">
            <a:solidFill>
              <a:schemeClr val="lt1"/>
            </a:solidFill>
          </a:ln>
          <a:effectLst>
            <a:outerShdw blurRad="177800" dist="469900" dir="4740000" sx="90000" sy="-19000" rotWithShape="0">
              <a:prstClr val="black">
                <a:alpha val="15000"/>
              </a:prstClr>
            </a:outerShdw>
          </a:effectLst>
          <a:scene3d>
            <a:camera prst="orthographicFront"/>
            <a:lightRig rig="brightRoom" dir="t">
              <a:rot lat="0" lon="0" rev="1800000"/>
            </a:lightRig>
          </a:scene3d>
          <a:sp3d contourW="19050" prstMaterial="plastic">
            <a:bevelT w="444500" h="762000" prst="artDeco"/>
            <a:bevelB w="444500" h="254000" prst="slope"/>
            <a:contourClr>
              <a:schemeClr val="lt1"/>
            </a:contourClr>
          </a:sp3d>
        </c:spPr>
      </c:pivotFmt>
      <c:pivotFmt>
        <c:idx val="17"/>
        <c:spPr>
          <a:solidFill>
            <a:srgbClr val="00B050"/>
          </a:solidFill>
          <a:ln w="19050">
            <a:solidFill>
              <a:schemeClr val="lt1"/>
            </a:solidFill>
          </a:ln>
          <a:effectLst>
            <a:outerShdw blurRad="177800" dist="469900" dir="4740000" sx="90000" sy="-19000" rotWithShape="0">
              <a:prstClr val="black">
                <a:alpha val="15000"/>
              </a:prstClr>
            </a:outerShdw>
          </a:effectLst>
          <a:scene3d>
            <a:camera prst="orthographicFront"/>
            <a:lightRig rig="brightRoom" dir="t">
              <a:rot lat="0" lon="0" rev="1800000"/>
            </a:lightRig>
          </a:scene3d>
          <a:sp3d contourW="19050" prstMaterial="plastic">
            <a:bevelT w="444500" h="762000" prst="artDeco"/>
            <a:bevelB w="444500" h="254000" prst="slope"/>
            <a:contourClr>
              <a:schemeClr val="lt1"/>
            </a:contourClr>
          </a:sp3d>
        </c:spPr>
      </c:pivotFmt>
      <c:pivotFmt>
        <c:idx val="18"/>
        <c:spPr>
          <a:solidFill>
            <a:srgbClr val="002060"/>
          </a:solidFill>
          <a:ln w="19050">
            <a:solidFill>
              <a:schemeClr val="lt1"/>
            </a:solidFill>
          </a:ln>
          <a:effectLst>
            <a:outerShdw blurRad="177800" dist="469900" dir="4740000" sx="90000" sy="-19000" rotWithShape="0">
              <a:prstClr val="black">
                <a:alpha val="15000"/>
              </a:prstClr>
            </a:outerShdw>
          </a:effectLst>
          <a:scene3d>
            <a:camera prst="orthographicFront"/>
            <a:lightRig rig="brightRoom" dir="t">
              <a:rot lat="0" lon="0" rev="1800000"/>
            </a:lightRig>
          </a:scene3d>
          <a:sp3d contourW="19050" prstMaterial="plastic">
            <a:bevelT w="444500" h="762000" prst="artDeco"/>
            <a:bevelB w="444500" h="254000" prst="slope"/>
            <a:contourClr>
              <a:schemeClr val="lt1"/>
            </a:contourClr>
          </a:sp3d>
        </c:spPr>
      </c:pivotFmt>
    </c:pivotFmts>
    <c:view3D>
      <c:rotX val="30"/>
      <c:rotY val="97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sideWall>
    <c:back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backWall>
    <c:plotArea>
      <c:layout>
        <c:manualLayout>
          <c:layoutTarget val="inner"/>
          <c:xMode val="edge"/>
          <c:yMode val="edge"/>
          <c:x val="3.6593479707252165E-2"/>
          <c:y val="0.12144728225278323"/>
          <c:w val="0.77461743180306042"/>
          <c:h val="0.87855271774721677"/>
        </c:manualLayout>
      </c:layout>
      <c:pie3DChart>
        <c:varyColors val="1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177800" dist="469900" dir="4740000" sx="90000" sy="-19000" rotWithShape="0">
                <a:prstClr val="black">
                  <a:alpha val="15000"/>
                </a:prstClr>
              </a:outerShdw>
            </a:effectLst>
            <a:scene3d>
              <a:camera prst="orthographicFront"/>
              <a:lightRig rig="brightRoom" dir="t">
                <a:rot lat="0" lon="0" rev="1800000"/>
              </a:lightRig>
            </a:scene3d>
            <a:sp3d prstMaterial="plastic">
              <a:bevelT w="444500" h="762000" prst="artDeco"/>
              <a:bevelB w="444500" h="254000" prst="slope"/>
              <a:contourClr>
                <a:srgbClr val="000000"/>
              </a:contourClr>
            </a:sp3d>
          </c:spPr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>
                <a:outerShdw blurRad="177800" dist="469900" dir="4740000" sx="90000" sy="-19000" rotWithShape="0">
                  <a:prstClr val="black">
                    <a:alpha val="15000"/>
                  </a:prstClr>
                </a:outerShdw>
              </a:effectLst>
              <a:scene3d>
                <a:camera prst="orthographicFront"/>
                <a:lightRig rig="brightRoom" dir="t">
                  <a:rot lat="0" lon="0" rev="1800000"/>
                </a:lightRig>
              </a:scene3d>
              <a:sp3d contourW="19050" prstMaterial="plastic">
                <a:bevelT w="444500" h="762000" prst="artDeco"/>
                <a:bevelB w="444500" h="254000" prst="slope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BD1-4F41-8F4A-5DE1766BB9AA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>
                <a:outerShdw blurRad="177800" dist="469900" dir="4740000" sx="90000" sy="-19000" rotWithShape="0">
                  <a:prstClr val="black">
                    <a:alpha val="15000"/>
                  </a:prstClr>
                </a:outerShdw>
              </a:effectLst>
              <a:scene3d>
                <a:camera prst="orthographicFront"/>
                <a:lightRig rig="brightRoom" dir="t">
                  <a:rot lat="0" lon="0" rev="1800000"/>
                </a:lightRig>
              </a:scene3d>
              <a:sp3d contourW="19050" prstMaterial="plastic">
                <a:bevelT w="444500" h="762000" prst="artDeco"/>
                <a:bevelB w="444500" h="254000" prst="slope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BD1-4F41-8F4A-5DE1766BB9AA}"/>
              </c:ext>
            </c:extLst>
          </c:dPt>
          <c:dPt>
            <c:idx val="2"/>
            <c:bubble3D val="0"/>
            <c:explosion val="26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>
                <a:outerShdw blurRad="177800" dist="469900" dir="4740000" sx="90000" sy="-19000" rotWithShape="0">
                  <a:prstClr val="black">
                    <a:alpha val="15000"/>
                  </a:prstClr>
                </a:outerShdw>
              </a:effectLst>
              <a:scene3d>
                <a:camera prst="orthographicFront"/>
                <a:lightRig rig="brightRoom" dir="t">
                  <a:rot lat="0" lon="0" rev="1800000"/>
                </a:lightRig>
              </a:scene3d>
              <a:sp3d contourW="19050" prstMaterial="plastic">
                <a:bevelT w="444500" h="762000" prst="artDeco"/>
                <a:bevelB w="444500" h="254000" prst="slope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BD1-4F41-8F4A-5DE1766BB9AA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>
                <a:outerShdw blurRad="177800" dist="469900" dir="4740000" sx="90000" sy="-19000" rotWithShape="0">
                  <a:prstClr val="black">
                    <a:alpha val="15000"/>
                  </a:prstClr>
                </a:outerShdw>
              </a:effectLst>
              <a:scene3d>
                <a:camera prst="orthographicFront"/>
                <a:lightRig rig="brightRoom" dir="t">
                  <a:rot lat="0" lon="0" rev="1800000"/>
                </a:lightRig>
              </a:scene3d>
              <a:sp3d contourW="19050" prstMaterial="plastic">
                <a:bevelT w="444500" h="762000" prst="artDeco"/>
                <a:bevelB w="444500" h="254000" prst="slope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BD1-4F41-8F4A-5DE1766BB9AA}"/>
              </c:ext>
            </c:extLst>
          </c:dPt>
          <c:dPt>
            <c:idx val="4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>
                <a:outerShdw blurRad="177800" dist="469900" dir="4740000" sx="90000" sy="-19000" rotWithShape="0">
                  <a:prstClr val="black">
                    <a:alpha val="15000"/>
                  </a:prstClr>
                </a:outerShdw>
              </a:effectLst>
              <a:scene3d>
                <a:camera prst="orthographicFront"/>
                <a:lightRig rig="brightRoom" dir="t">
                  <a:rot lat="0" lon="0" rev="1800000"/>
                </a:lightRig>
              </a:scene3d>
              <a:sp3d contourW="19050" prstMaterial="plastic">
                <a:bevelT w="444500" h="762000" prst="artDeco"/>
                <a:bevelB w="444500" h="254000" prst="slope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BD1-4F41-8F4A-5DE1766BB9AA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>
                <a:outerShdw blurRad="177800" dist="469900" dir="4740000" sx="90000" sy="-19000" rotWithShape="0">
                  <a:prstClr val="black">
                    <a:alpha val="15000"/>
                  </a:prstClr>
                </a:outerShdw>
              </a:effectLst>
              <a:scene3d>
                <a:camera prst="orthographicFront"/>
                <a:lightRig rig="brightRoom" dir="t">
                  <a:rot lat="0" lon="0" rev="1800000"/>
                </a:lightRig>
              </a:scene3d>
              <a:sp3d contourW="19050" prstMaterial="plastic">
                <a:bevelT w="444500" h="762000" prst="artDeco"/>
                <a:bevelB w="444500" h="254000" prst="slope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BD1-4F41-8F4A-5DE1766BB9AA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>
                <a:outerShdw blurRad="177800" dist="469900" dir="4740000" sx="90000" sy="-19000" rotWithShape="0">
                  <a:prstClr val="black">
                    <a:alpha val="15000"/>
                  </a:prstClr>
                </a:outerShdw>
              </a:effectLst>
              <a:scene3d>
                <a:camera prst="orthographicFront"/>
                <a:lightRig rig="brightRoom" dir="t">
                  <a:rot lat="0" lon="0" rev="1800000"/>
                </a:lightRig>
              </a:scene3d>
              <a:sp3d contourW="19050" prstMaterial="plastic">
                <a:bevelT w="444500" h="762000" prst="artDeco"/>
                <a:bevelB w="444500" h="254000" prst="slope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BD1-4F41-8F4A-5DE1766BB9AA}"/>
              </c:ext>
            </c:extLst>
          </c:dPt>
          <c:dPt>
            <c:idx val="7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>
                <a:outerShdw blurRad="177800" dist="469900" dir="4740000" sx="90000" sy="-19000" rotWithShape="0">
                  <a:prstClr val="black">
                    <a:alpha val="15000"/>
                  </a:prstClr>
                </a:outerShdw>
              </a:effectLst>
              <a:scene3d>
                <a:camera prst="orthographicFront"/>
                <a:lightRig rig="brightRoom" dir="t">
                  <a:rot lat="0" lon="0" rev="1800000"/>
                </a:lightRig>
              </a:scene3d>
              <a:sp3d contourW="19050" prstMaterial="plastic">
                <a:bevelT w="444500" h="762000" prst="artDeco"/>
                <a:bevelB w="444500" h="254000" prst="slope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BD1-4F41-8F4A-5DE1766BB9AA}"/>
              </c:ext>
            </c:extLst>
          </c:dPt>
          <c:dLbls>
            <c:spPr>
              <a:noFill/>
              <a:ln>
                <a:noFill/>
              </a:ln>
              <a:effectLst>
                <a:outerShdw blurRad="76200" dist="12700" dir="2700000" sy="-23000" kx="-800400" algn="bl" rotWithShape="0">
                  <a:prstClr val="black">
                    <a:alpha val="2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Pivots!$A$2:$A$10</c:f>
              <c:strCache>
                <c:ptCount val="8"/>
                <c:pt idx="0">
                  <c:v>Clothing</c:v>
                </c:pt>
                <c:pt idx="1">
                  <c:v>Food</c:v>
                </c:pt>
                <c:pt idx="2">
                  <c:v>Housing</c:v>
                </c:pt>
                <c:pt idx="3">
                  <c:v>Internet</c:v>
                </c:pt>
                <c:pt idx="4">
                  <c:v>Lifestyle</c:v>
                </c:pt>
                <c:pt idx="5">
                  <c:v>Loans</c:v>
                </c:pt>
                <c:pt idx="6">
                  <c:v>Savings</c:v>
                </c:pt>
                <c:pt idx="7">
                  <c:v>Transport</c:v>
                </c:pt>
              </c:strCache>
            </c:strRef>
          </c:cat>
          <c:val>
            <c:numRef>
              <c:f>Pivots!$B$2:$B$10</c:f>
              <c:numCache>
                <c:formatCode>"R"#\ ##0.00</c:formatCode>
                <c:ptCount val="8"/>
                <c:pt idx="0">
                  <c:v>1700</c:v>
                </c:pt>
                <c:pt idx="1">
                  <c:v>1800</c:v>
                </c:pt>
                <c:pt idx="2">
                  <c:v>2100</c:v>
                </c:pt>
                <c:pt idx="3">
                  <c:v>600</c:v>
                </c:pt>
                <c:pt idx="4">
                  <c:v>1130</c:v>
                </c:pt>
                <c:pt idx="5">
                  <c:v>1000</c:v>
                </c:pt>
                <c:pt idx="6">
                  <c:v>700</c:v>
                </c:pt>
                <c:pt idx="7">
                  <c:v>1590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D1-4F41-8F4A-5DE1766BB9A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09238451935079"/>
          <c:y val="0.30808384259803345"/>
          <c:w val="0.23018102372034957"/>
          <c:h val="0.542694255102440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52400" h="50800" prst="softRound"/>
      <a:bevelB w="152400" h="50800" prst="softRound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[Expense Tracker.xlsm]Pivots!PivotTable3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INCOME</a:t>
            </a:r>
            <a:r>
              <a:rPr lang="en-US" b="1" baseline="0"/>
              <a:t> STREAMS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/>
            <a:lightRig rig="freezing" dir="t"/>
          </a:scene3d>
          <a:sp3d prstMaterial="dkEdge">
            <a:bevelT w="101600"/>
          </a:sp3d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  <a:scene3d>
              <a:camera prst="orthographicFront"/>
              <a:lightRig rig="freezing" dir="t"/>
            </a:scene3d>
            <a:sp3d prstMaterial="dkEdge">
              <a:bevelT w="101600"/>
            </a:sp3d>
          </c:spPr>
          <c:invertIfNegative val="0"/>
          <c:cat>
            <c:strRef>
              <c:f>Pivots!$D$2:$D$4</c:f>
              <c:strCache>
                <c:ptCount val="2"/>
                <c:pt idx="0">
                  <c:v>Main Salary</c:v>
                </c:pt>
                <c:pt idx="1">
                  <c:v>Other Income</c:v>
                </c:pt>
              </c:strCache>
            </c:strRef>
          </c:cat>
          <c:val>
            <c:numRef>
              <c:f>Pivots!$E$2:$E$4</c:f>
              <c:numCache>
                <c:formatCode>"R"#\ ##0.00</c:formatCode>
                <c:ptCount val="2"/>
                <c:pt idx="0">
                  <c:v>6400</c:v>
                </c:pt>
                <c:pt idx="1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3-4B69-B44A-036B197B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03949120"/>
        <c:axId val="803946960"/>
      </c:barChart>
      <c:catAx>
        <c:axId val="803949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946960"/>
        <c:crosses val="autoZero"/>
        <c:auto val="1"/>
        <c:lblAlgn val="ctr"/>
        <c:lblOffset val="100"/>
        <c:noMultiLvlLbl val="0"/>
      </c:catAx>
      <c:valAx>
        <c:axId val="80394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&quot;#\ 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949120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198120</xdr:colOff>
          <xdr:row>18</xdr:row>
          <xdr:rowOff>129540</xdr:rowOff>
        </xdr:from>
        <xdr:to>
          <xdr:col>4</xdr:col>
          <xdr:colOff>121920</xdr:colOff>
          <xdr:row>21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594360</xdr:colOff>
      <xdr:row>23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4259AE1-4F5D-7753-29D6-C600F42C1C0C}"/>
            </a:ext>
          </a:extLst>
        </xdr:cNvPr>
        <xdr:cNvSpPr/>
      </xdr:nvSpPr>
      <xdr:spPr>
        <a:xfrm>
          <a:off x="0" y="0"/>
          <a:ext cx="9738360" cy="435864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prst="cross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129540</xdr:colOff>
      <xdr:row>5</xdr:row>
      <xdr:rowOff>121920</xdr:rowOff>
    </xdr:from>
    <xdr:to>
      <xdr:col>6</xdr:col>
      <xdr:colOff>541020</xdr:colOff>
      <xdr:row>22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5AB90A-C078-4FA8-A0A2-31B7CA6F8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579120</xdr:colOff>
      <xdr:row>5</xdr:row>
      <xdr:rowOff>106680</xdr:rowOff>
    </xdr:from>
    <xdr:to>
      <xdr:col>15</xdr:col>
      <xdr:colOff>365760</xdr:colOff>
      <xdr:row>22</xdr:row>
      <xdr:rowOff>160020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1C7F6E-288E-406C-A52C-605226FB17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0</xdr:row>
      <xdr:rowOff>175260</xdr:rowOff>
    </xdr:from>
    <xdr:to>
      <xdr:col>10</xdr:col>
      <xdr:colOff>137160</xdr:colOff>
      <xdr:row>4</xdr:row>
      <xdr:rowOff>114300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8480628-298B-8894-0A37-8C1DA63CBE45}"/>
            </a:ext>
          </a:extLst>
        </xdr:cNvPr>
        <xdr:cNvSpPr txBox="1"/>
      </xdr:nvSpPr>
      <xdr:spPr>
        <a:xfrm>
          <a:off x="152400" y="175260"/>
          <a:ext cx="6080760" cy="670560"/>
        </a:xfrm>
        <a:prstGeom prst="rect">
          <a:avLst/>
        </a:prstGeom>
        <a:noFill/>
        <a:ln w="9525" cmpd="sng">
          <a:solidFill>
            <a:schemeClr val="accent3">
              <a:lumMod val="75000"/>
            </a:schemeClr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Right"/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>
              <a:latin typeface="Algerian" panose="04020705040A02060702" pitchFamily="82" charset="0"/>
            </a:rPr>
            <a:t>EXPENSE AND BUDGET TRACKER</a:t>
          </a:r>
        </a:p>
      </xdr:txBody>
    </xdr:sp>
    <xdr:clientData/>
  </xdr:twoCellAnchor>
  <xdr:twoCellAnchor>
    <xdr:from>
      <xdr:col>10</xdr:col>
      <xdr:colOff>129540</xdr:colOff>
      <xdr:row>1</xdr:row>
      <xdr:rowOff>30480</xdr:rowOff>
    </xdr:from>
    <xdr:to>
      <xdr:col>14</xdr:col>
      <xdr:colOff>396240</xdr:colOff>
      <xdr:row>4</xdr:row>
      <xdr:rowOff>160020</xdr:rowOff>
    </xdr:to>
    <xdr:sp macro="" textlink="'Main Spreadsheet'!F4">
      <xdr:nvSpPr>
        <xdr:cNvPr id="6" name="Rectangle 5">
          <a:extLst>
            <a:ext uri="{FF2B5EF4-FFF2-40B4-BE49-F238E27FC236}">
              <a16:creationId xmlns:a16="http://schemas.microsoft.com/office/drawing/2014/main" id="{F7AFD7C1-0E5A-03B4-9D7A-2CBF65573D3F}"/>
            </a:ext>
          </a:extLst>
        </xdr:cNvPr>
        <xdr:cNvSpPr/>
      </xdr:nvSpPr>
      <xdr:spPr>
        <a:xfrm>
          <a:off x="6225540" y="213360"/>
          <a:ext cx="2705100" cy="678180"/>
        </a:xfrm>
        <a:prstGeom prst="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1270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2748F56-0D00-420B-97CC-7D3C7ED58FB1}" type="TxLink">
            <a:rPr lang="en-US" sz="3200" b="1" i="0" u="none" strike="noStrike">
              <a:solidFill>
                <a:srgbClr val="44546A"/>
              </a:solidFill>
              <a:latin typeface="Calibri"/>
              <a:ea typeface="Calibri"/>
              <a:cs typeface="Calibri"/>
            </a:rPr>
            <a:pPr algn="ctr"/>
            <a:t>-R420,00</a:t>
          </a:fld>
          <a:endParaRPr lang="en-US" sz="24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15.699663541665" createdVersion="8" refreshedVersion="8" minRefreshableVersion="3" recordCount="14" xr:uid="{CFDC8999-2BFA-4023-AF84-DC5D0B804EEA}">
  <cacheSource type="worksheet">
    <worksheetSource name="Table2"/>
  </cacheSource>
  <cacheFields count="3">
    <cacheField name="Category" numFmtId="0">
      <sharedItems containsBlank="1" count="9">
        <s v="Housing"/>
        <s v="Food"/>
        <s v="Lifestyle"/>
        <s v="Clothing"/>
        <s v="Savings"/>
        <s v="Loans"/>
        <s v="Transport"/>
        <s v="Internet"/>
        <m/>
      </sharedItems>
    </cacheField>
    <cacheField name="Description" numFmtId="0">
      <sharedItems count="12">
        <s v="Rent"/>
        <s v="Water"/>
        <s v="Groceries"/>
        <s v="Night Out"/>
        <s v="Winter Tracksuit"/>
        <s v="Monthly Savings"/>
        <s v="Electricity"/>
        <s v="Finbank Loan"/>
        <s v="Uber"/>
        <s v="Monthly Commute Fare"/>
        <s v="MTN Data Contract"/>
        <s v="Total"/>
      </sharedItems>
    </cacheField>
    <cacheField name="Amount" numFmtId="164">
      <sharedItems containsSemiMixedTypes="0" containsString="0" containsNumber="1" containsInteger="1" minValue="140" maxValue="106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15.701873495367" createdVersion="8" refreshedVersion="8" minRefreshableVersion="3" recordCount="3" xr:uid="{D1A424D9-3CF0-4E2E-A6EE-F6171FDCA2A2}">
  <cacheSource type="worksheet">
    <worksheetSource ref="A3:C6" sheet="Main Spreadsheet"/>
  </cacheSource>
  <cacheFields count="3">
    <cacheField name="Income Description" numFmtId="0">
      <sharedItems containsBlank="1" count="3">
        <s v="Main Salary"/>
        <s v="Other Income"/>
        <m/>
      </sharedItems>
    </cacheField>
    <cacheField name="Field2" caption="Field2" numFmtId="0">
      <sharedItems containsBlank="1" count="2">
        <m/>
        <s v="Total"/>
      </sharedItems>
    </cacheField>
    <cacheField name="Amount" numFmtId="164">
      <sharedItems containsSemiMixedTypes="0" containsString="0" containsNumber="1" containsInteger="1" minValue="3800" maxValue="10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1500"/>
  </r>
  <r>
    <x v="0"/>
    <x v="1"/>
    <n v="200"/>
  </r>
  <r>
    <x v="1"/>
    <x v="2"/>
    <n v="1800"/>
  </r>
  <r>
    <x v="2"/>
    <x v="3"/>
    <n v="400"/>
  </r>
  <r>
    <x v="3"/>
    <x v="4"/>
    <n v="1700"/>
  </r>
  <r>
    <x v="4"/>
    <x v="5"/>
    <n v="400"/>
  </r>
  <r>
    <x v="0"/>
    <x v="6"/>
    <n v="400"/>
  </r>
  <r>
    <x v="5"/>
    <x v="7"/>
    <n v="1000"/>
  </r>
  <r>
    <x v="4"/>
    <x v="5"/>
    <n v="300"/>
  </r>
  <r>
    <x v="6"/>
    <x v="8"/>
    <n v="140"/>
  </r>
  <r>
    <x v="6"/>
    <x v="9"/>
    <n v="1450"/>
  </r>
  <r>
    <x v="7"/>
    <x v="10"/>
    <n v="600"/>
  </r>
  <r>
    <x v="2"/>
    <x v="3"/>
    <n v="730"/>
  </r>
  <r>
    <x v="8"/>
    <x v="11"/>
    <n v="106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n v="6400"/>
  </r>
  <r>
    <x v="1"/>
    <x v="0"/>
    <n v="3800"/>
  </r>
  <r>
    <x v="2"/>
    <x v="1"/>
    <n v="10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E37829-A9AB-41CF-A840-7C697772F033}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D1:E4" firstHeaderRow="1" firstDataRow="1" firstDataCol="1"/>
  <pivotFields count="3">
    <pivotField axis="axisRow" showAll="0">
      <items count="4">
        <item x="0"/>
        <item x="1"/>
        <item h="1" x="2"/>
        <item t="default"/>
      </items>
    </pivotField>
    <pivotField showAll="0">
      <items count="3">
        <item x="1"/>
        <item x="0"/>
        <item t="default"/>
      </items>
    </pivotField>
    <pivotField dataField="1" numFmtId="164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Amount" fld="2" baseField="0" baseItem="0" numFmtId="164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808C67-E554-4E82-AF30-691CE16ED7CB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>
  <location ref="A1:B10" firstHeaderRow="1" firstDataRow="1" firstDataCol="1"/>
  <pivotFields count="3">
    <pivotField axis="axisRow" showAll="0">
      <items count="10">
        <item x="3"/>
        <item x="1"/>
        <item x="0"/>
        <item x="7"/>
        <item x="2"/>
        <item x="5"/>
        <item x="4"/>
        <item x="6"/>
        <item h="1" x="8"/>
        <item t="default"/>
      </items>
    </pivotField>
    <pivotField showAll="0">
      <items count="13">
        <item x="6"/>
        <item x="7"/>
        <item x="2"/>
        <item x="9"/>
        <item x="5"/>
        <item x="10"/>
        <item x="3"/>
        <item x="0"/>
        <item x="11"/>
        <item x="8"/>
        <item x="1"/>
        <item x="4"/>
        <item t="default"/>
      </items>
    </pivotField>
    <pivotField dataField="1" numFmtId="164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Amount" fld="2" baseField="0" baseItem="0" numFmtId="164"/>
  </dataFields>
  <chartFormats count="9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6CE651-5179-4B1F-8326-33D282B1F85F}" name="Table1" displayName="Table1" ref="A28:A36" totalsRowShown="0" headerRowDxfId="2">
  <autoFilter ref="A28:A36" xr:uid="{4C6CE651-5179-4B1F-8326-33D282B1F85F}"/>
  <tableColumns count="1">
    <tableColumn id="1" xr3:uid="{046013FE-884D-4E15-AAE9-FEA04E7CB232}" name="Categori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795950-CD3B-4606-9923-EEF5116A6FE9}" name="Table2" displayName="Table2" ref="A9:C23" totalsRowShown="0">
  <autoFilter ref="A9:C23" xr:uid="{44795950-CD3B-4606-9923-EEF5116A6FE9}"/>
  <tableColumns count="3">
    <tableColumn id="1" xr3:uid="{9C03F6A8-F7D0-42DB-9FB6-3FD83D341369}" name="Category"/>
    <tableColumn id="2" xr3:uid="{81A44946-9454-458E-8B63-53064F46D5C5}" name="Description"/>
    <tableColumn id="3" xr3:uid="{9A58F283-600B-4E11-9A7D-05616A447C74}" name="Amount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F36"/>
  <sheetViews>
    <sheetView workbookViewId="0">
      <selection activeCell="C23" sqref="C23"/>
    </sheetView>
  </sheetViews>
  <sheetFormatPr defaultRowHeight="14.4" x14ac:dyDescent="0.3"/>
  <cols>
    <col min="1" max="1" width="12" customWidth="1"/>
    <col min="2" max="2" width="31.109375" customWidth="1"/>
    <col min="3" max="3" width="14.33203125" style="4" customWidth="1"/>
    <col min="6" max="6" width="17.88671875" bestFit="1" customWidth="1"/>
  </cols>
  <sheetData>
    <row r="3" spans="1:6" x14ac:dyDescent="0.3">
      <c r="A3" s="7" t="s">
        <v>2</v>
      </c>
      <c r="B3" s="7"/>
      <c r="C3" s="6" t="s">
        <v>1</v>
      </c>
      <c r="F3" s="5" t="s">
        <v>18</v>
      </c>
    </row>
    <row r="4" spans="1:6" ht="20.399999999999999" thickBot="1" x14ac:dyDescent="0.45">
      <c r="A4" s="2" t="s">
        <v>3</v>
      </c>
      <c r="B4" s="2"/>
      <c r="C4" s="4">
        <v>6400</v>
      </c>
      <c r="F4" s="10">
        <f>C6-C23</f>
        <v>-420</v>
      </c>
    </row>
    <row r="5" spans="1:6" ht="15" thickTop="1" x14ac:dyDescent="0.3">
      <c r="A5" s="2" t="s">
        <v>4</v>
      </c>
      <c r="B5" s="2"/>
      <c r="C5" s="4">
        <v>3800</v>
      </c>
    </row>
    <row r="6" spans="1:6" ht="15" thickBot="1" x14ac:dyDescent="0.35">
      <c r="A6" s="1"/>
      <c r="B6" s="11" t="s">
        <v>7</v>
      </c>
      <c r="C6" s="9">
        <f>SUM(C4:C5)</f>
        <v>10200</v>
      </c>
    </row>
    <row r="7" spans="1:6" ht="15" thickTop="1" x14ac:dyDescent="0.3">
      <c r="A7" s="1"/>
      <c r="B7" s="1"/>
    </row>
    <row r="9" spans="1:6" x14ac:dyDescent="0.3">
      <c r="A9" s="5" t="s">
        <v>10</v>
      </c>
      <c r="B9" s="5" t="s">
        <v>0</v>
      </c>
      <c r="C9" s="6" t="s">
        <v>1</v>
      </c>
    </row>
    <row r="10" spans="1:6" x14ac:dyDescent="0.3">
      <c r="A10" t="s">
        <v>14</v>
      </c>
      <c r="B10" t="s">
        <v>8</v>
      </c>
      <c r="C10" s="4">
        <v>1500</v>
      </c>
    </row>
    <row r="11" spans="1:6" x14ac:dyDescent="0.3">
      <c r="A11" t="s">
        <v>14</v>
      </c>
      <c r="B11" t="s">
        <v>23</v>
      </c>
      <c r="C11" s="4">
        <v>200</v>
      </c>
    </row>
    <row r="12" spans="1:6" x14ac:dyDescent="0.3">
      <c r="A12" t="s">
        <v>13</v>
      </c>
      <c r="B12" t="s">
        <v>6</v>
      </c>
      <c r="C12" s="4">
        <v>1800</v>
      </c>
    </row>
    <row r="13" spans="1:6" x14ac:dyDescent="0.3">
      <c r="A13" t="s">
        <v>12</v>
      </c>
      <c r="B13" t="s">
        <v>22</v>
      </c>
      <c r="C13" s="4">
        <v>400</v>
      </c>
    </row>
    <row r="14" spans="1:6" x14ac:dyDescent="0.3">
      <c r="A14" t="s">
        <v>21</v>
      </c>
      <c r="B14" t="s">
        <v>25</v>
      </c>
      <c r="C14" s="4">
        <v>1700</v>
      </c>
    </row>
    <row r="15" spans="1:6" x14ac:dyDescent="0.3">
      <c r="A15" t="s">
        <v>16</v>
      </c>
      <c r="B15" t="s">
        <v>17</v>
      </c>
      <c r="C15" s="4">
        <v>400</v>
      </c>
    </row>
    <row r="16" spans="1:6" x14ac:dyDescent="0.3">
      <c r="A16" t="s">
        <v>14</v>
      </c>
      <c r="B16" t="s">
        <v>24</v>
      </c>
      <c r="C16" s="4">
        <v>400</v>
      </c>
    </row>
    <row r="17" spans="1:3" x14ac:dyDescent="0.3">
      <c r="A17" t="s">
        <v>20</v>
      </c>
      <c r="B17" t="s">
        <v>26</v>
      </c>
      <c r="C17" s="4">
        <v>1000</v>
      </c>
    </row>
    <row r="18" spans="1:3" x14ac:dyDescent="0.3">
      <c r="A18" t="s">
        <v>16</v>
      </c>
      <c r="B18" t="s">
        <v>17</v>
      </c>
      <c r="C18" s="4">
        <v>300</v>
      </c>
    </row>
    <row r="19" spans="1:3" x14ac:dyDescent="0.3">
      <c r="A19" t="s">
        <v>9</v>
      </c>
      <c r="B19" t="s">
        <v>15</v>
      </c>
      <c r="C19" s="4">
        <v>140</v>
      </c>
    </row>
    <row r="20" spans="1:3" x14ac:dyDescent="0.3">
      <c r="A20" t="s">
        <v>9</v>
      </c>
      <c r="B20" t="s">
        <v>27</v>
      </c>
      <c r="C20" s="4">
        <v>1450</v>
      </c>
    </row>
    <row r="21" spans="1:3" x14ac:dyDescent="0.3">
      <c r="A21" t="s">
        <v>11</v>
      </c>
      <c r="B21" t="s">
        <v>5</v>
      </c>
      <c r="C21" s="4">
        <v>600</v>
      </c>
    </row>
    <row r="22" spans="1:3" x14ac:dyDescent="0.3">
      <c r="A22" t="s">
        <v>12</v>
      </c>
      <c r="B22" t="s">
        <v>22</v>
      </c>
      <c r="C22" s="4">
        <v>730</v>
      </c>
    </row>
    <row r="23" spans="1:3" ht="15" thickBot="1" x14ac:dyDescent="0.35">
      <c r="B23" s="8" t="s">
        <v>7</v>
      </c>
      <c r="C23" s="9">
        <f>SUM(C10:C22)</f>
        <v>10620</v>
      </c>
    </row>
    <row r="24" spans="1:3" ht="15" thickTop="1" x14ac:dyDescent="0.3"/>
    <row r="28" spans="1:3" x14ac:dyDescent="0.3">
      <c r="A28" s="5" t="s">
        <v>19</v>
      </c>
    </row>
    <row r="29" spans="1:3" x14ac:dyDescent="0.3">
      <c r="A29" t="s">
        <v>11</v>
      </c>
    </row>
    <row r="30" spans="1:3" x14ac:dyDescent="0.3">
      <c r="A30" t="s">
        <v>13</v>
      </c>
    </row>
    <row r="31" spans="1:3" x14ac:dyDescent="0.3">
      <c r="A31" t="s">
        <v>14</v>
      </c>
    </row>
    <row r="32" spans="1:3" x14ac:dyDescent="0.3">
      <c r="A32" t="s">
        <v>9</v>
      </c>
    </row>
    <row r="33" spans="1:1" x14ac:dyDescent="0.3">
      <c r="A33" t="s">
        <v>12</v>
      </c>
    </row>
    <row r="34" spans="1:1" x14ac:dyDescent="0.3">
      <c r="A34" t="s">
        <v>16</v>
      </c>
    </row>
    <row r="35" spans="1:1" x14ac:dyDescent="0.3">
      <c r="A35" t="s">
        <v>20</v>
      </c>
    </row>
    <row r="36" spans="1:1" x14ac:dyDescent="0.3">
      <c r="A36" t="s">
        <v>21</v>
      </c>
    </row>
  </sheetData>
  <mergeCells count="3">
    <mergeCell ref="A3:B3"/>
    <mergeCell ref="A4:B4"/>
    <mergeCell ref="A5:B5"/>
  </mergeCells>
  <conditionalFormatting sqref="D4:D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{E134E970-EEC8-4E46-9D96-5526500ED838}</x14:id>
        </ext>
      </extLst>
    </cfRule>
  </conditionalFormatting>
  <conditionalFormatting sqref="C10:D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{F6312E4B-F928-4E7F-ABA7-9367756700B8}</x14:id>
        </ext>
      </extLst>
    </cfRule>
  </conditionalFormatting>
  <conditionalFormatting sqref="F4">
    <cfRule type="cellIs" dxfId="0" priority="1" operator="lessThan">
      <formula>0</formula>
    </cfRule>
  </conditionalFormatting>
  <dataValidations count="2">
    <dataValidation type="list" allowBlank="1" showInputMessage="1" showErrorMessage="1" errorTitle="Invalid Category" error="See Categories below" promptTitle="See Categories" prompt="Enter any catogory in the categories list. If you cannot find category, add on in the categories list." sqref="A10:A22" xr:uid="{0C3B73E4-CE2B-4D65-9055-899A3343DFC4}">
      <formula1>$A$29:$A$36</formula1>
    </dataValidation>
    <dataValidation type="whole" operator="greaterThan" allowBlank="1" showErrorMessage="1" errorTitle="Input Error!" error="Only numbers greater than zero allowed" sqref="C10:C22" xr:uid="{950FAF23-B603-4375-B2DD-19174602B6C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utton3_Click">
                <anchor moveWithCells="1" sizeWithCells="1">
                  <from>
                    <xdr:col>3</xdr:col>
                    <xdr:colOff>198120</xdr:colOff>
                    <xdr:row>18</xdr:row>
                    <xdr:rowOff>129540</xdr:rowOff>
                  </from>
                  <to>
                    <xdr:col>4</xdr:col>
                    <xdr:colOff>121920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134E970-EEC8-4E46-9D96-5526500ED8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D4:D5</xm:sqref>
        </x14:conditionalFormatting>
        <x14:conditionalFormatting xmlns:xm="http://schemas.microsoft.com/office/excel/2006/main">
          <x14:cfRule type="dataBar" id="{F6312E4B-F928-4E7F-ABA7-9367756700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C10:D22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E076D85-D07B-4B59-ABAD-488ABDAC3A50}">
          <x14:colorSeries rgb="FF000000"/>
          <x14:colorNegative rgb="FF0070C0"/>
          <x14:colorAxis rgb="FF000000"/>
          <x14:colorMarkers rgb="FF0070C0"/>
          <x14:colorFirst rgb="FF0070C0"/>
          <x14:colorLast rgb="FF0070C0"/>
          <x14:colorHigh rgb="FF0070C0"/>
          <x14:colorLow rgb="FF0070C0"/>
          <x14:sparklines>
            <x14:sparkline>
              <xm:f>'Main Spreadsheet'!C10:C10</xm:f>
              <xm:sqref>D10</xm:sqref>
            </x14:sparkline>
            <x14:sparkline>
              <xm:f>'Main Spreadsheet'!C11:C11</xm:f>
              <xm:sqref>D11</xm:sqref>
            </x14:sparkline>
            <x14:sparkline>
              <xm:f>'Main Spreadsheet'!C12:C12</xm:f>
              <xm:sqref>D12</xm:sqref>
            </x14:sparkline>
            <x14:sparkline>
              <xm:f>'Main Spreadsheet'!C13:C13</xm:f>
              <xm:sqref>D13</xm:sqref>
            </x14:sparkline>
            <x14:sparkline>
              <xm:f>'Main Spreadsheet'!C14:C14</xm:f>
              <xm:sqref>D14</xm:sqref>
            </x14:sparkline>
            <x14:sparkline>
              <xm:f>'Main Spreadsheet'!C15:C15</xm:f>
              <xm:sqref>D15</xm:sqref>
            </x14:sparkline>
            <x14:sparkline>
              <xm:f>'Main Spreadsheet'!C16:C16</xm:f>
              <xm:sqref>D16</xm:sqref>
            </x14:sparkline>
            <x14:sparkline>
              <xm:f>'Main Spreadsheet'!C17:C17</xm:f>
              <xm:sqref>D17</xm:sqref>
            </x14:sparkline>
            <x14:sparkline>
              <xm:f>'Main Spreadsheet'!C18:C18</xm:f>
              <xm:sqref>D18</xm:sqref>
            </x14:sparkline>
            <x14:sparkline>
              <xm:f>'Main Spreadsheet'!C19:C19</xm:f>
              <xm:sqref>D19</xm:sqref>
            </x14:sparkline>
            <x14:sparkline>
              <xm:f>'Main Spreadsheet'!C20:C20</xm:f>
              <xm:sqref>D20</xm:sqref>
            </x14:sparkline>
            <x14:sparkline>
              <xm:f>'Main Spreadsheet'!C21:C21</xm:f>
              <xm:sqref>D21</xm:sqref>
            </x14:sparkline>
            <x14:sparkline>
              <xm:f>'Main Spreadsheet'!C22:C22</xm:f>
              <xm:sqref>D22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95024-5E6B-40CA-B332-75A9A018696C}">
  <dimension ref="A1:E10"/>
  <sheetViews>
    <sheetView workbookViewId="0">
      <selection activeCell="N16" sqref="N16"/>
    </sheetView>
  </sheetViews>
  <sheetFormatPr defaultRowHeight="14.4" x14ac:dyDescent="0.3"/>
  <cols>
    <col min="1" max="1" width="12.5546875" bestFit="1" customWidth="1"/>
    <col min="2" max="2" width="14.44140625" bestFit="1" customWidth="1"/>
    <col min="4" max="4" width="12.5546875" bestFit="1" customWidth="1"/>
    <col min="5" max="5" width="14.44140625" bestFit="1" customWidth="1"/>
  </cols>
  <sheetData>
    <row r="1" spans="1:5" x14ac:dyDescent="0.3">
      <c r="A1" s="12" t="s">
        <v>28</v>
      </c>
      <c r="B1" t="s">
        <v>30</v>
      </c>
      <c r="D1" s="12" t="s">
        <v>28</v>
      </c>
      <c r="E1" t="s">
        <v>30</v>
      </c>
    </row>
    <row r="2" spans="1:5" x14ac:dyDescent="0.3">
      <c r="A2" s="3" t="s">
        <v>21</v>
      </c>
      <c r="B2" s="4">
        <v>1700</v>
      </c>
      <c r="D2" s="3" t="s">
        <v>3</v>
      </c>
      <c r="E2" s="4">
        <v>6400</v>
      </c>
    </row>
    <row r="3" spans="1:5" x14ac:dyDescent="0.3">
      <c r="A3" s="3" t="s">
        <v>13</v>
      </c>
      <c r="B3" s="4">
        <v>1800</v>
      </c>
      <c r="D3" s="3" t="s">
        <v>4</v>
      </c>
      <c r="E3" s="4">
        <v>3800</v>
      </c>
    </row>
    <row r="4" spans="1:5" x14ac:dyDescent="0.3">
      <c r="A4" s="3" t="s">
        <v>14</v>
      </c>
      <c r="B4" s="4">
        <v>2100</v>
      </c>
      <c r="D4" s="3" t="s">
        <v>29</v>
      </c>
      <c r="E4" s="4">
        <v>10200</v>
      </c>
    </row>
    <row r="5" spans="1:5" x14ac:dyDescent="0.3">
      <c r="A5" s="3" t="s">
        <v>11</v>
      </c>
      <c r="B5" s="4">
        <v>600</v>
      </c>
    </row>
    <row r="6" spans="1:5" x14ac:dyDescent="0.3">
      <c r="A6" s="3" t="s">
        <v>12</v>
      </c>
      <c r="B6" s="4">
        <v>1130</v>
      </c>
    </row>
    <row r="7" spans="1:5" x14ac:dyDescent="0.3">
      <c r="A7" s="3" t="s">
        <v>20</v>
      </c>
      <c r="B7" s="4">
        <v>1000</v>
      </c>
    </row>
    <row r="8" spans="1:5" x14ac:dyDescent="0.3">
      <c r="A8" s="3" t="s">
        <v>16</v>
      </c>
      <c r="B8" s="4">
        <v>700</v>
      </c>
    </row>
    <row r="9" spans="1:5" x14ac:dyDescent="0.3">
      <c r="A9" s="3" t="s">
        <v>9</v>
      </c>
      <c r="B9" s="4">
        <v>1590</v>
      </c>
    </row>
    <row r="10" spans="1:5" x14ac:dyDescent="0.3">
      <c r="A10" s="3" t="s">
        <v>29</v>
      </c>
      <c r="B10" s="4">
        <v>10620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B0E45-8477-4CDD-B223-E410236007E2}">
  <sheetPr codeName="Sheet2"/>
  <dimension ref="A1"/>
  <sheetViews>
    <sheetView tabSelected="1" workbookViewId="0">
      <selection activeCell="R12" sqref="R12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Spreadsheet</vt:lpstr>
      <vt:lpstr>Pivots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Sisasenkosi Nene</dc:creator>
  <cp:lastModifiedBy>SISASENKOSI</cp:lastModifiedBy>
  <dcterms:created xsi:type="dcterms:W3CDTF">2015-06-05T18:17:20Z</dcterms:created>
  <dcterms:modified xsi:type="dcterms:W3CDTF">2026-07-12T15:35:13Z</dcterms:modified>
</cp:coreProperties>
</file>