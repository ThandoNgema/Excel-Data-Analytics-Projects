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_d\OneDrive\Documentos\sisa\"/>
    </mc:Choice>
  </mc:AlternateContent>
  <xr:revisionPtr revIDLastSave="0" documentId="13_ncr:1_{D617942D-D349-4371-9E49-7EEF2249A7BC}" xr6:coauthVersionLast="36" xr6:coauthVersionMax="36" xr10:uidLastSave="{00000000-0000-0000-0000-000000000000}"/>
  <bookViews>
    <workbookView xWindow="0" yWindow="0" windowWidth="20490" windowHeight="7425" activeTab="1" xr2:uid="{B45B3E2D-00F9-4ABC-A495-D64D24388FFA}"/>
  </bookViews>
  <sheets>
    <sheet name="Sheet1" sheetId="1" r:id="rId1"/>
    <sheet name="Shipping Warehouse" sheetId="2" r:id="rId2"/>
  </sheets>
  <definedNames>
    <definedName name="solver_adj" localSheetId="1" hidden="1">'Shipping Warehouse'!$B$13:$E$14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'Shipping Warehouse'!$B$15</definedName>
    <definedName name="solver_lhs2" localSheetId="1" hidden="1">'Shipping Warehouse'!$C$15</definedName>
    <definedName name="solver_lhs3" localSheetId="1" hidden="1">'Shipping Warehouse'!$D$15</definedName>
    <definedName name="solver_lhs4" localSheetId="1" hidden="1">'Shipping Warehouse'!$E$15</definedName>
    <definedName name="solver_lhs5" localSheetId="1" hidden="1">'Shipping Warehouse'!$F$13</definedName>
    <definedName name="solver_lhs6" localSheetId="1" hidden="1">'Shipping Warehouse'!$F$14</definedName>
    <definedName name="solver_lhs7" localSheetId="1" hidden="1">'Shipping Warehouse'!$F$14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6</definedName>
    <definedName name="solver_nwt" localSheetId="1" hidden="1">1</definedName>
    <definedName name="solver_opt" localSheetId="1" hidden="1">'Shipping Warehouse'!$B$18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hs1" localSheetId="1" hidden="1">'Shipping Warehouse'!$B$16</definedName>
    <definedName name="solver_rhs2" localSheetId="1" hidden="1">'Shipping Warehouse'!$C$16</definedName>
    <definedName name="solver_rhs3" localSheetId="1" hidden="1">'Shipping Warehouse'!$D$16</definedName>
    <definedName name="solver_rhs4" localSheetId="1" hidden="1">'Shipping Warehouse'!$E$16</definedName>
    <definedName name="solver_rhs5" localSheetId="1" hidden="1">'Shipping Warehouse'!$G$13</definedName>
    <definedName name="solver_rhs6" localSheetId="1" hidden="1">'Shipping Warehouse'!$G$14</definedName>
    <definedName name="solver_rhs7" localSheetId="1" hidden="1">60000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F14" i="2"/>
  <c r="F13" i="2"/>
  <c r="C15" i="2"/>
  <c r="E15" i="2"/>
  <c r="B15" i="2"/>
  <c r="B18" i="2"/>
  <c r="B8" i="1" l="1"/>
  <c r="B7" i="1"/>
  <c r="B3" i="1"/>
  <c r="B9" i="1" l="1"/>
  <c r="B11" i="1" s="1"/>
</calcChain>
</file>

<file path=xl/sharedStrings.xml><?xml version="1.0" encoding="utf-8"?>
<sst xmlns="http://schemas.openxmlformats.org/spreadsheetml/2006/main" count="29" uniqueCount="23">
  <si>
    <t>Unit Cost</t>
  </si>
  <si>
    <t>Profit Per Unit</t>
  </si>
  <si>
    <t>Price Per Unit</t>
  </si>
  <si>
    <t>Quantity Sold</t>
  </si>
  <si>
    <t>Total Revenue</t>
  </si>
  <si>
    <t>Total Cost</t>
  </si>
  <si>
    <t xml:space="preserve">Profit Margin </t>
  </si>
  <si>
    <t>Profit</t>
  </si>
  <si>
    <t>*Formula for Profit Margin already provided in cell B11. Do not change it</t>
  </si>
  <si>
    <t xml:space="preserve">Cost </t>
  </si>
  <si>
    <t>Cost of Shipping Per Product</t>
  </si>
  <si>
    <t>Warehouse 1</t>
  </si>
  <si>
    <t>Warehouse 2</t>
  </si>
  <si>
    <t>KZN</t>
  </si>
  <si>
    <t>Mpumalanga</t>
  </si>
  <si>
    <t>Limpopo</t>
  </si>
  <si>
    <t>Gauteng</t>
  </si>
  <si>
    <t>Number of Products Shipped</t>
  </si>
  <si>
    <t>Total Shipped</t>
  </si>
  <si>
    <t>Quantity Available</t>
  </si>
  <si>
    <t>Total Received By Branch</t>
  </si>
  <si>
    <t>Branch Orders</t>
  </si>
  <si>
    <t>Overall Total Shipping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</si>
</sst>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44" fontId="0" fillId="0" borderId="1" xfId="1" applyFont="1" applyBorder="1"/>
    <xf numFmtId="0" fontId="5" fillId="0" borderId="1" xfId="0" applyFont="1" applyBorder="1"/>
    <xf numFmtId="0" fontId="5" fillId="0" borderId="0" xfId="0" applyFont="1"/>
    <xf numFmtId="0" fontId="5" fillId="0" borderId="1" xfId="0" applyFont="1" applyFill="1" applyBorder="1"/>
    <xf numFmtId="4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4309-8769-45CB-A75A-6E45550B2CEB}">
  <dimension ref="A1:C13"/>
  <sheetViews>
    <sheetView zoomScale="140" zoomScaleNormal="140" workbookViewId="0">
      <selection activeCell="D2" sqref="D2"/>
    </sheetView>
  </sheetViews>
  <sheetFormatPr defaultRowHeight="15" x14ac:dyDescent="0.25"/>
  <cols>
    <col min="1" max="1" width="67.28515625" bestFit="1" customWidth="1"/>
    <col min="2" max="2" width="8.7109375" bestFit="1" customWidth="1"/>
  </cols>
  <sheetData>
    <row r="1" spans="1:3" ht="15.75" x14ac:dyDescent="0.25">
      <c r="A1" s="2" t="s">
        <v>2</v>
      </c>
      <c r="B1" s="2">
        <v>100</v>
      </c>
    </row>
    <row r="2" spans="1:3" ht="15.75" x14ac:dyDescent="0.25">
      <c r="A2" s="2" t="s">
        <v>0</v>
      </c>
      <c r="B2" s="2">
        <v>60</v>
      </c>
      <c r="C2">
        <v>40</v>
      </c>
    </row>
    <row r="3" spans="1:3" ht="15.75" x14ac:dyDescent="0.25">
      <c r="A3" s="3" t="s">
        <v>1</v>
      </c>
      <c r="B3" s="3">
        <f>B1-B2</f>
        <v>40</v>
      </c>
    </row>
    <row r="4" spans="1:3" ht="15.75" x14ac:dyDescent="0.25">
      <c r="A4" s="2"/>
      <c r="B4" s="2"/>
    </row>
    <row r="5" spans="1:3" ht="15.75" x14ac:dyDescent="0.25">
      <c r="A5" s="2" t="s">
        <v>3</v>
      </c>
      <c r="B5" s="2">
        <v>200</v>
      </c>
    </row>
    <row r="6" spans="1:3" ht="15.75" x14ac:dyDescent="0.25">
      <c r="A6" s="2"/>
      <c r="B6" s="2"/>
    </row>
    <row r="7" spans="1:3" ht="15.75" x14ac:dyDescent="0.25">
      <c r="A7" s="3" t="s">
        <v>4</v>
      </c>
      <c r="B7" s="3">
        <f>B1*B5</f>
        <v>20000</v>
      </c>
    </row>
    <row r="8" spans="1:3" ht="15.75" x14ac:dyDescent="0.25">
      <c r="A8" s="3" t="s">
        <v>5</v>
      </c>
      <c r="B8" s="3">
        <f>B2*B5</f>
        <v>12000</v>
      </c>
    </row>
    <row r="9" spans="1:3" ht="15.75" x14ac:dyDescent="0.25">
      <c r="A9" s="3" t="s">
        <v>7</v>
      </c>
      <c r="B9" s="3">
        <f>B7-B8</f>
        <v>8000</v>
      </c>
    </row>
    <row r="10" spans="1:3" ht="15.75" x14ac:dyDescent="0.25">
      <c r="A10" s="2"/>
      <c r="B10" s="2"/>
    </row>
    <row r="11" spans="1:3" ht="15.75" x14ac:dyDescent="0.25">
      <c r="A11" s="3" t="s">
        <v>6</v>
      </c>
      <c r="B11" s="3">
        <f>(B9/B7)*100</f>
        <v>40</v>
      </c>
    </row>
    <row r="13" spans="1:3" x14ac:dyDescent="0.25">
      <c r="A1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61CB-117B-4504-BD6C-77DE2A4A2821}">
  <dimension ref="A1:H18"/>
  <sheetViews>
    <sheetView tabSelected="1" workbookViewId="0">
      <selection activeCell="B18" sqref="B18"/>
    </sheetView>
  </sheetViews>
  <sheetFormatPr defaultRowHeight="15" x14ac:dyDescent="0.25"/>
  <cols>
    <col min="1" max="1" width="26.5703125" bestFit="1" customWidth="1"/>
    <col min="2" max="2" width="12.5703125" bestFit="1" customWidth="1"/>
    <col min="3" max="3" width="12.42578125" bestFit="1" customWidth="1"/>
    <col min="4" max="4" width="8.7109375" bestFit="1" customWidth="1"/>
    <col min="5" max="5" width="8.42578125" bestFit="1" customWidth="1"/>
    <col min="6" max="6" width="13.28515625" bestFit="1" customWidth="1"/>
    <col min="7" max="7" width="17.7109375" bestFit="1" customWidth="1"/>
  </cols>
  <sheetData>
    <row r="1" spans="1:8" x14ac:dyDescent="0.25">
      <c r="A1" t="s">
        <v>9</v>
      </c>
    </row>
    <row r="6" spans="1:8" x14ac:dyDescent="0.25">
      <c r="A6" s="7" t="s">
        <v>10</v>
      </c>
      <c r="B6" s="4"/>
      <c r="C6" s="4"/>
      <c r="D6" s="4"/>
      <c r="E6" s="4"/>
    </row>
    <row r="7" spans="1:8" x14ac:dyDescent="0.25">
      <c r="A7" s="7"/>
      <c r="B7" s="7" t="s">
        <v>13</v>
      </c>
      <c r="C7" s="7" t="s">
        <v>14</v>
      </c>
      <c r="D7" s="7" t="s">
        <v>15</v>
      </c>
      <c r="E7" s="7" t="s">
        <v>16</v>
      </c>
    </row>
    <row r="8" spans="1:8" x14ac:dyDescent="0.25">
      <c r="A8" s="7" t="s">
        <v>11</v>
      </c>
      <c r="B8" s="6">
        <v>1</v>
      </c>
      <c r="C8" s="6">
        <v>6</v>
      </c>
      <c r="D8" s="6">
        <v>8</v>
      </c>
      <c r="E8" s="6">
        <v>7</v>
      </c>
    </row>
    <row r="9" spans="1:8" x14ac:dyDescent="0.25">
      <c r="A9" s="7" t="s">
        <v>12</v>
      </c>
      <c r="B9" s="6">
        <v>4</v>
      </c>
      <c r="C9" s="6">
        <v>2</v>
      </c>
      <c r="D9" s="6">
        <v>0.5</v>
      </c>
      <c r="E9" s="6">
        <v>2.5</v>
      </c>
    </row>
    <row r="10" spans="1:8" x14ac:dyDescent="0.25">
      <c r="A10" s="8"/>
    </row>
    <row r="11" spans="1:8" x14ac:dyDescent="0.25">
      <c r="A11" s="7" t="s">
        <v>17</v>
      </c>
      <c r="B11" s="4"/>
      <c r="C11" s="4"/>
      <c r="D11" s="4"/>
      <c r="E11" s="4"/>
      <c r="F11" s="4"/>
      <c r="G11" s="4"/>
      <c r="H11" s="5"/>
    </row>
    <row r="12" spans="1:8" x14ac:dyDescent="0.25">
      <c r="A12" s="7"/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18</v>
      </c>
      <c r="G12" s="7" t="s">
        <v>19</v>
      </c>
      <c r="H12" s="5"/>
    </row>
    <row r="13" spans="1:8" x14ac:dyDescent="0.25">
      <c r="A13" s="7" t="s">
        <v>11</v>
      </c>
      <c r="B13" s="4">
        <v>35000</v>
      </c>
      <c r="C13" s="4">
        <v>0</v>
      </c>
      <c r="D13" s="4">
        <v>0</v>
      </c>
      <c r="E13" s="4">
        <v>0</v>
      </c>
      <c r="F13" s="4">
        <f>SUM(B13:E13)</f>
        <v>35000</v>
      </c>
      <c r="G13" s="7">
        <v>60000</v>
      </c>
      <c r="H13" s="5"/>
    </row>
    <row r="14" spans="1:8" x14ac:dyDescent="0.25">
      <c r="A14" s="7" t="s">
        <v>12</v>
      </c>
      <c r="B14" s="4">
        <v>0</v>
      </c>
      <c r="C14" s="4">
        <v>22000</v>
      </c>
      <c r="D14" s="4">
        <v>18000</v>
      </c>
      <c r="E14" s="4">
        <v>30000</v>
      </c>
      <c r="F14" s="4">
        <f t="shared" ref="F14:F16" si="0">SUM(B14:E14)</f>
        <v>70000</v>
      </c>
      <c r="G14" s="7">
        <v>80000</v>
      </c>
      <c r="H14" s="5"/>
    </row>
    <row r="15" spans="1:8" x14ac:dyDescent="0.25">
      <c r="A15" s="7" t="s">
        <v>20</v>
      </c>
      <c r="B15" s="4">
        <f>SUM(B13:B14)</f>
        <v>35000</v>
      </c>
      <c r="C15" s="4">
        <f t="shared" ref="C15:E15" si="1">SUM(C13:C14)</f>
        <v>22000</v>
      </c>
      <c r="D15" s="4">
        <f>SUM(D13:D14)</f>
        <v>18000</v>
      </c>
      <c r="E15" s="4">
        <f t="shared" si="1"/>
        <v>30000</v>
      </c>
      <c r="F15" s="5"/>
    </row>
    <row r="16" spans="1:8" x14ac:dyDescent="0.25">
      <c r="A16" s="7" t="s">
        <v>21</v>
      </c>
      <c r="B16" s="7">
        <v>35000</v>
      </c>
      <c r="C16" s="7">
        <v>22000</v>
      </c>
      <c r="D16" s="7">
        <v>18000</v>
      </c>
      <c r="E16" s="7">
        <v>30000</v>
      </c>
      <c r="F16" s="5"/>
    </row>
    <row r="17" spans="1:2" x14ac:dyDescent="0.25">
      <c r="A17" s="4"/>
      <c r="B17" s="4"/>
    </row>
    <row r="18" spans="1:2" x14ac:dyDescent="0.25">
      <c r="A18" s="9" t="s">
        <v>22</v>
      </c>
      <c r="B18" s="10">
        <f>(B13*B8)+(B14*B9)+(C14*C9)+(C13*C8)+(D14*D9)+(D13*D8)+(E8*E13)+(E14*E9)</f>
        <v>163000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Shipping 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Anyway Chare</dc:creator>
  <cp:lastModifiedBy>Ortsa Trust</cp:lastModifiedBy>
  <dcterms:created xsi:type="dcterms:W3CDTF">2025-02-13T21:51:31Z</dcterms:created>
  <dcterms:modified xsi:type="dcterms:W3CDTF">2026-03-18T13:21:00Z</dcterms:modified>
</cp:coreProperties>
</file>